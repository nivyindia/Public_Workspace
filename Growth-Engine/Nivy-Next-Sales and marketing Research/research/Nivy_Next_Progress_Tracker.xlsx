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gress 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'Progress Tracker'!$A$1:$L$55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9" fontId="5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9" fontId="5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0" min="1" max="1"/>
    <col width="20" customWidth="1" style="10" min="2" max="2"/>
    <col width="42" customWidth="1" style="10" min="3" max="3"/>
    <col width="10" customWidth="1" style="10" min="4" max="4"/>
    <col width="16" customWidth="1" style="10" min="5" max="5"/>
    <col width="12" customWidth="1" style="10" min="6" max="7"/>
    <col width="14" customWidth="1" style="10" min="8" max="8"/>
    <col width="11" customWidth="1" style="10" min="9" max="9"/>
    <col width="16" customWidth="1" style="10" min="10" max="10"/>
    <col width="22" customWidth="1" style="10" min="11" max="11"/>
    <col width="26" customWidth="1" style="10" min="12" max="12"/>
  </cols>
  <sheetData>
    <row r="1" ht="34.5" customHeight="1" s="11">
      <c r="A1" s="12" t="inlineStr">
        <is>
          <t>ID</t>
        </is>
      </c>
      <c r="B1" s="12" t="inlineStr">
        <is>
          <t>Research Module</t>
        </is>
      </c>
      <c r="C1" s="12" t="inlineStr">
        <is>
          <t>Task</t>
        </is>
      </c>
      <c r="D1" s="12" t="inlineStr">
        <is>
          <t>Priority</t>
        </is>
      </c>
      <c r="E1" s="12" t="inlineStr">
        <is>
          <t>Owner</t>
        </is>
      </c>
      <c r="F1" s="12" t="inlineStr">
        <is>
          <t>Start Date</t>
        </is>
      </c>
      <c r="G1" s="12" t="inlineStr">
        <is>
          <t>Due Date</t>
        </is>
      </c>
      <c r="H1" s="12" t="inlineStr">
        <is>
          <t>Status</t>
        </is>
      </c>
      <c r="I1" s="12" t="inlineStr">
        <is>
          <t>% Complete</t>
        </is>
      </c>
      <c r="J1" s="12" t="inlineStr">
        <is>
          <t>Evidence Link</t>
        </is>
      </c>
      <c r="K1" s="12" t="inlineStr">
        <is>
          <t>Risks/Blockers</t>
        </is>
      </c>
      <c r="L1" s="12" t="inlineStr">
        <is>
          <t>Next Action</t>
        </is>
      </c>
    </row>
    <row r="2" ht="15" customHeight="1" s="11">
      <c r="A2" s="13" t="n">
        <v>1</v>
      </c>
      <c r="B2" s="13" t="inlineStr">
        <is>
          <t>Foundation</t>
        </is>
      </c>
      <c r="C2" s="14" t="inlineStr">
        <is>
          <t>Approve this master blueprint</t>
        </is>
      </c>
      <c r="D2" s="13" t="inlineStr">
        <is>
          <t>High</t>
        </is>
      </c>
      <c r="E2" s="13" t="inlineStr">
        <is>
          <t>Founder</t>
        </is>
      </c>
      <c r="F2" s="13" t="n"/>
      <c r="G2" s="13" t="n"/>
      <c r="H2" s="13" t="inlineStr">
        <is>
          <t>Not Started</t>
        </is>
      </c>
      <c r="I2" s="15" t="n">
        <v>0</v>
      </c>
      <c r="J2" s="13" t="n"/>
      <c r="K2" s="14" t="inlineStr">
        <is>
          <t>Leadership availability</t>
        </is>
      </c>
      <c r="L2" s="14" t="inlineStr">
        <is>
          <t>Schedule review meeting</t>
        </is>
      </c>
    </row>
    <row r="3" ht="15" customHeight="1" s="11">
      <c r="A3" s="13" t="n">
        <v>2</v>
      </c>
      <c r="B3" s="13" t="inlineStr">
        <is>
          <t>Foundation</t>
        </is>
      </c>
      <c r="C3" s="14" t="inlineStr">
        <is>
          <t>Set up research repository (folder structure)</t>
        </is>
      </c>
      <c r="D3" s="13" t="inlineStr">
        <is>
          <t>High</t>
        </is>
      </c>
      <c r="E3" s="13" t="inlineStr">
        <is>
          <t>Ops</t>
        </is>
      </c>
      <c r="F3" s="13" t="n"/>
      <c r="G3" s="13" t="n"/>
      <c r="H3" s="13" t="inlineStr">
        <is>
          <t>Complete</t>
        </is>
      </c>
      <c r="I3" s="15" t="n">
        <v>1</v>
      </c>
      <c r="J3" s="13" t="inlineStr">
        <is>
          <t>research/ (folder tree live)</t>
        </is>
      </c>
      <c r="K3" s="14" t="n"/>
      <c r="L3" s="14" t="inlineStr">
        <is>
          <t>None — maintain as new modules are added</t>
        </is>
      </c>
    </row>
    <row r="4" ht="15" customHeight="1" s="11">
      <c r="A4" s="13" t="n">
        <v>3</v>
      </c>
      <c r="B4" s="13" t="inlineStr">
        <is>
          <t>Foundation</t>
        </is>
      </c>
      <c r="C4" s="14" t="inlineStr">
        <is>
          <t>Assign module owners</t>
        </is>
      </c>
      <c r="D4" s="13" t="inlineStr">
        <is>
          <t>High</t>
        </is>
      </c>
      <c r="E4" s="13" t="inlineStr">
        <is>
          <t>Founder</t>
        </is>
      </c>
      <c r="F4" s="13" t="n"/>
      <c r="G4" s="13" t="n"/>
      <c r="H4" s="13" t="inlineStr">
        <is>
          <t>In Progress</t>
        </is>
      </c>
      <c r="I4" s="15" t="n">
        <v>0.5</v>
      </c>
      <c r="J4" s="13" t="inlineStr">
        <is>
          <t>01-Foundation/RACI.md</t>
        </is>
      </c>
      <c r="K4" s="14" t="inlineStr">
        <is>
          <t>Roles proposed by task-fit; real names still need founder confirmation</t>
        </is>
      </c>
      <c r="L4" s="14" t="inlineStr">
        <is>
          <t>Founder confirms names against proposed roles in RACI.md</t>
        </is>
      </c>
    </row>
    <row r="5" ht="15" customHeight="1" s="11">
      <c r="A5" s="13" t="n">
        <v>4</v>
      </c>
      <c r="B5" s="13" t="inlineStr">
        <is>
          <t>Foundation</t>
        </is>
      </c>
      <c r="C5" s="14" t="inlineStr">
        <is>
          <t>Set up progress tracker in project tool</t>
        </is>
      </c>
      <c r="D5" s="13" t="inlineStr">
        <is>
          <t>Medium</t>
        </is>
      </c>
      <c r="E5" s="13" t="inlineStr">
        <is>
          <t>Ops</t>
        </is>
      </c>
      <c r="F5" s="13" t="n"/>
      <c r="G5" s="13" t="n"/>
      <c r="H5" s="13" t="inlineStr">
        <is>
          <t>In Progress</t>
        </is>
      </c>
      <c r="I5" s="15" t="n">
        <v>0.6</v>
      </c>
      <c r="J5" s="13" t="inlineStr">
        <is>
          <t>Nivy_Next_Progress_Tracker.xlsx (live, this file)</t>
        </is>
      </c>
      <c r="K5" s="14" t="inlineStr">
        <is>
          <t>Working in Excel, not yet migrated to a shared project tool (Notion suggested in Dashboard_Tool_Spec.md)</t>
        </is>
      </c>
      <c r="L5" s="14" t="inlineStr">
        <is>
          <t>Decide whether to migrate tracker into Notion alongside the rest of Nivy Empires workspace</t>
        </is>
      </c>
    </row>
    <row r="6" ht="15" customHeight="1" s="11">
      <c r="A6" s="13" t="n">
        <v>5</v>
      </c>
      <c r="B6" s="13" t="inlineStr">
        <is>
          <t>Market Intelligence</t>
        </is>
      </c>
      <c r="C6" s="14" t="inlineStr">
        <is>
          <t>Build USA country snapshot</t>
        </is>
      </c>
      <c r="D6" s="13" t="inlineStr">
        <is>
          <t>High</t>
        </is>
      </c>
      <c r="E6" s="13" t="inlineStr">
        <is>
          <t>Research</t>
        </is>
      </c>
      <c r="F6" s="13" t="inlineStr">
        <is>
          <t>2026-08-06</t>
        </is>
      </c>
      <c r="G6" s="13" t="inlineStr">
        <is>
          <t>2026-08-06</t>
        </is>
      </c>
      <c r="H6" s="13" t="inlineStr">
        <is>
          <t>Complete</t>
        </is>
      </c>
      <c r="I6" s="15" t="n">
        <v>1</v>
      </c>
      <c r="J6" s="13" t="inlineStr">
        <is>
          <t>02-Market-Intelligence/Country-Snapshots/</t>
        </is>
      </c>
      <c r="K6" s="14" t="n"/>
      <c r="L6" s="14" t="inlineStr">
        <is>
          <t>Move to competitor benchmarking (Task 10)</t>
        </is>
      </c>
    </row>
    <row r="7" ht="15" customHeight="1" s="11">
      <c r="A7" s="13" t="n">
        <v>6</v>
      </c>
      <c r="B7" s="13" t="inlineStr">
        <is>
          <t>Market Intelligence</t>
        </is>
      </c>
      <c r="C7" s="14" t="inlineStr">
        <is>
          <t>Build Canada country snapshot</t>
        </is>
      </c>
      <c r="D7" s="13" t="inlineStr">
        <is>
          <t>High</t>
        </is>
      </c>
      <c r="E7" s="13" t="inlineStr">
        <is>
          <t>Research</t>
        </is>
      </c>
      <c r="F7" s="13" t="inlineStr">
        <is>
          <t>2026-08-06</t>
        </is>
      </c>
      <c r="G7" s="13" t="inlineStr">
        <is>
          <t>2026-08-06</t>
        </is>
      </c>
      <c r="H7" s="13" t="inlineStr">
        <is>
          <t>Complete</t>
        </is>
      </c>
      <c r="I7" s="15" t="n">
        <v>1</v>
      </c>
      <c r="J7" s="13" t="inlineStr">
        <is>
          <t>02-Market-Intelligence/Country-Snapshots/</t>
        </is>
      </c>
      <c r="K7" s="14" t="n"/>
      <c r="L7" s="14" t="inlineStr">
        <is>
          <t>Move to competitor benchmarking (Task 10)</t>
        </is>
      </c>
    </row>
    <row r="8" ht="15" customHeight="1" s="11">
      <c r="A8" s="13" t="n">
        <v>7</v>
      </c>
      <c r="B8" s="13" t="inlineStr">
        <is>
          <t>Market Intelligence</t>
        </is>
      </c>
      <c r="C8" s="14" t="inlineStr">
        <is>
          <t>Build UK country snapshot</t>
        </is>
      </c>
      <c r="D8" s="13" t="inlineStr">
        <is>
          <t>High</t>
        </is>
      </c>
      <c r="E8" s="13" t="inlineStr">
        <is>
          <t>Research</t>
        </is>
      </c>
      <c r="F8" s="13" t="inlineStr">
        <is>
          <t>2026-08-06</t>
        </is>
      </c>
      <c r="G8" s="13" t="inlineStr">
        <is>
          <t>2026-08-06</t>
        </is>
      </c>
      <c r="H8" s="13" t="inlineStr">
        <is>
          <t>Complete</t>
        </is>
      </c>
      <c r="I8" s="15" t="n">
        <v>1</v>
      </c>
      <c r="J8" s="13" t="inlineStr">
        <is>
          <t>02-Market-Intelligence/Country-Snapshots/</t>
        </is>
      </c>
      <c r="K8" s="14" t="n"/>
      <c r="L8" s="14" t="inlineStr">
        <is>
          <t>Move to competitor benchmarking (Task 10)</t>
        </is>
      </c>
    </row>
    <row r="9" ht="15" customHeight="1" s="11">
      <c r="A9" s="13" t="n">
        <v>8</v>
      </c>
      <c r="B9" s="13" t="inlineStr">
        <is>
          <t>Market Intelligence</t>
        </is>
      </c>
      <c r="C9" s="14" t="inlineStr">
        <is>
          <t>Build Australia country snapshot</t>
        </is>
      </c>
      <c r="D9" s="13" t="inlineStr">
        <is>
          <t>High</t>
        </is>
      </c>
      <c r="E9" s="13" t="inlineStr">
        <is>
          <t>Research</t>
        </is>
      </c>
      <c r="F9" s="13" t="inlineStr">
        <is>
          <t>2026-08-06</t>
        </is>
      </c>
      <c r="G9" s="13" t="inlineStr">
        <is>
          <t>2026-08-06</t>
        </is>
      </c>
      <c r="H9" s="13" t="inlineStr">
        <is>
          <t>Complete</t>
        </is>
      </c>
      <c r="I9" s="15" t="n">
        <v>1</v>
      </c>
      <c r="J9" s="13" t="inlineStr">
        <is>
          <t>02-Market-Intelligence/Country-Snapshots/</t>
        </is>
      </c>
      <c r="K9" s="14" t="n"/>
      <c r="L9" s="14" t="inlineStr">
        <is>
          <t>Move to competitor benchmarking (Task 10)</t>
        </is>
      </c>
    </row>
    <row r="10" ht="15" customHeight="1" s="11">
      <c r="A10" s="13" t="n">
        <v>9</v>
      </c>
      <c r="B10" s="13" t="inlineStr">
        <is>
          <t>Market Intelligence</t>
        </is>
      </c>
      <c r="C10" s="14" t="inlineStr">
        <is>
          <t>Build UAE country snapshot</t>
        </is>
      </c>
      <c r="D10" s="13" t="inlineStr">
        <is>
          <t>High</t>
        </is>
      </c>
      <c r="E10" s="13" t="inlineStr">
        <is>
          <t>Research</t>
        </is>
      </c>
      <c r="F10" s="13" t="inlineStr">
        <is>
          <t>2026-08-06</t>
        </is>
      </c>
      <c r="G10" s="13" t="inlineStr">
        <is>
          <t>2026-08-06</t>
        </is>
      </c>
      <c r="H10" s="13" t="inlineStr">
        <is>
          <t>Complete</t>
        </is>
      </c>
      <c r="I10" s="15" t="n">
        <v>1</v>
      </c>
      <c r="J10" s="13" t="inlineStr">
        <is>
          <t>02-Market-Intelligence/Country-Snapshots/</t>
        </is>
      </c>
      <c r="K10" s="14" t="n"/>
      <c r="L10" s="14" t="inlineStr">
        <is>
          <t>Move to competitor benchmarking (Task 10)</t>
        </is>
      </c>
    </row>
    <row r="11" ht="15" customHeight="1" s="11">
      <c r="A11" s="13" t="n">
        <v>10</v>
      </c>
      <c r="B11" s="13" t="inlineStr">
        <is>
          <t>Market Intelligence</t>
        </is>
      </c>
      <c r="C11" s="14" t="inlineStr">
        <is>
          <t>Identify top 5 direct competitors</t>
        </is>
      </c>
      <c r="D11" s="13" t="inlineStr">
        <is>
          <t>High</t>
        </is>
      </c>
      <c r="E11" s="13" t="inlineStr">
        <is>
          <t>Research</t>
        </is>
      </c>
      <c r="F11" s="13" t="inlineStr">
        <is>
          <t>2026-08-06</t>
        </is>
      </c>
      <c r="G11" s="13" t="inlineStr">
        <is>
          <t>2026-08-06</t>
        </is>
      </c>
      <c r="H11" s="13" t="inlineStr">
        <is>
          <t>Complete</t>
        </is>
      </c>
      <c r="I11" s="15" t="n">
        <v>0.95</v>
      </c>
      <c r="J11" s="13" t="inlineStr">
        <is>
          <t>02-Market-Intelligence/Competitor-Benchmarking/Competitor_Data_Collection_Master.md</t>
        </is>
      </c>
      <c r="K11" s="14" t="inlineStr">
        <is>
          <t>All 5 competitors now have a pricing signal from direct site checks. Likely name correction found: "Z Rankings" appears to actually be EZ Rankings (near-identical published stats/services) — EZ Rankings has full published SEO pricing ($225-$1,099/mo). Eminenture and Fusion/FBSPL both confirmed quote-only on their own sites but have matching Clutch aggregate bands ($1,000+ min, &lt;$25/hr).</t>
        </is>
      </c>
      <c r="L11" s="14" t="inlineStr">
        <is>
          <t>Founder/researcher to confirm the Z Rankings = EZ Rankings identity against original source material before treating as final; otherwise pricing picture is essentially complete for desk research</t>
        </is>
      </c>
    </row>
    <row r="12" ht="15" customHeight="1" s="11">
      <c r="A12" s="13" t="n">
        <v>11</v>
      </c>
      <c r="B12" s="13" t="inlineStr">
        <is>
          <t>Market Intelligence</t>
        </is>
      </c>
      <c r="C12" s="14" t="inlineStr">
        <is>
          <t>Complete competitor benchmark matrix</t>
        </is>
      </c>
      <c r="D12" s="13" t="inlineStr">
        <is>
          <t>High</t>
        </is>
      </c>
      <c r="E12" s="13" t="inlineStr">
        <is>
          <t>Research</t>
        </is>
      </c>
      <c r="F12" s="13" t="inlineStr">
        <is>
          <t>2026-08-06</t>
        </is>
      </c>
      <c r="G12" s="13" t="inlineStr">
        <is>
          <t>2026-08-06</t>
        </is>
      </c>
      <c r="H12" s="13" t="inlineStr">
        <is>
          <t>In Progress</t>
        </is>
      </c>
      <c r="I12" s="15" t="n">
        <v>0.95</v>
      </c>
      <c r="J12" s="13" t="inlineStr">
        <is>
          <t>02-Market-Intelligence/Competitor-Benchmarking/Competitor_and_Market_Pricing_Benchmark_v1.md</t>
        </is>
      </c>
      <c r="K12" s="14" t="inlineStr">
        <is>
          <t>Benchmark now includes real published pricing for EZ Rankings (likely = former "Z Rankings" entry) showing a much lower market floor ($225/mo) than previously known — sharpens the low-cost-lane vs premium-lane positioning decision in Deliverable 4.4</t>
        </is>
      </c>
      <c r="L12" s="14" t="inlineStr">
        <is>
          <t>Founder review updated benchmark, especially the EZ Rankings $225/mo floor and its implication for Digital Marketing Starter tier pricing</t>
        </is>
      </c>
    </row>
    <row r="13" ht="15" customHeight="1" s="11">
      <c r="A13" s="13" t="n">
        <v>12</v>
      </c>
      <c r="B13" s="13" t="inlineStr">
        <is>
          <t>Market Intelligence</t>
        </is>
      </c>
      <c r="C13" s="14" t="inlineStr">
        <is>
          <t>Run SWOT on top 3 competitors</t>
        </is>
      </c>
      <c r="D13" s="13" t="inlineStr">
        <is>
          <t>Medium</t>
        </is>
      </c>
      <c r="E13" s="13" t="inlineStr">
        <is>
          <t>Research</t>
        </is>
      </c>
      <c r="F13" s="13" t="inlineStr">
        <is>
          <t>2026-08-06</t>
        </is>
      </c>
      <c r="G13" s="13" t="inlineStr">
        <is>
          <t>2026-08-06</t>
        </is>
      </c>
      <c r="H13" s="13" t="inlineStr">
        <is>
          <t>Complete</t>
        </is>
      </c>
      <c r="I13" s="15" t="n">
        <v>1</v>
      </c>
      <c r="J13" s="13" t="inlineStr">
        <is>
          <t>02-Market-Intelligence/Competitor-Benchmarking/SWOT_Top3_Competitors_v1.md</t>
        </is>
      </c>
      <c r="K13" s="14" t="n"/>
      <c r="L13" s="14" t="inlineStr">
        <is>
          <t>Revisit quarterly via shift report</t>
        </is>
      </c>
    </row>
    <row r="14" ht="15" customHeight="1" s="11">
      <c r="A14" s="13" t="n">
        <v>13</v>
      </c>
      <c r="B14" s="13" t="inlineStr">
        <is>
          <t>Market Intelligence</t>
        </is>
      </c>
      <c r="C14" s="14" t="inlineStr">
        <is>
          <t>Industry prioritization scoring</t>
        </is>
      </c>
      <c r="D14" s="13" t="inlineStr">
        <is>
          <t>High</t>
        </is>
      </c>
      <c r="E14" s="13" t="inlineStr">
        <is>
          <t>Research</t>
        </is>
      </c>
      <c r="F14" s="13" t="inlineStr">
        <is>
          <t>2026-08-06</t>
        </is>
      </c>
      <c r="G14" s="13" t="inlineStr">
        <is>
          <t>2026-08-06</t>
        </is>
      </c>
      <c r="H14" s="13" t="inlineStr">
        <is>
          <t>Complete</t>
        </is>
      </c>
      <c r="I14" s="15" t="n">
        <v>1</v>
      </c>
      <c r="J14" s="13" t="inlineStr">
        <is>
          <t>02-Market-Intelligence/Industry_Prioritization_Scoring_v1.md</t>
        </is>
      </c>
      <c r="K14" s="14" t="n"/>
      <c r="L14" s="14" t="inlineStr">
        <is>
          <t>Feeds ICP card prioritization (Tasks 14-21)</t>
        </is>
      </c>
    </row>
    <row r="15" ht="15" customHeight="1" s="11">
      <c r="A15" s="13" t="n">
        <v>14</v>
      </c>
      <c r="B15" s="13" t="inlineStr">
        <is>
          <t>ICP Research</t>
        </is>
      </c>
      <c r="C15" s="14" t="inlineStr">
        <is>
          <t>Draft ICP cards — Accounting-adjacent/ops angle</t>
        </is>
      </c>
      <c r="D15" s="13" t="inlineStr">
        <is>
          <t>Medium</t>
        </is>
      </c>
      <c r="E15" s="13" t="inlineStr">
        <is>
          <t>Sales</t>
        </is>
      </c>
      <c r="F15" s="13" t="inlineStr">
        <is>
          <t>2026-08-06</t>
        </is>
      </c>
      <c r="G15" s="13" t="inlineStr">
        <is>
          <t>2026-08-06</t>
        </is>
      </c>
      <c r="H15" s="13" t="inlineStr">
        <is>
          <t>In Progress</t>
        </is>
      </c>
      <c r="I15" s="15" t="n">
        <v>0.6</v>
      </c>
      <c r="J15" s="13" t="inlineStr">
        <is>
          <t>03-ICP-Buyer-Research/ICP-Cards/ICP_AccountingAdjacentOps_SMB.md</t>
        </is>
      </c>
      <c r="K15" s="14" t="inlineStr">
        <is>
          <t>Hypothesis-stage — needs VoC validation; also depends on Trust &amp; Compliance drafts before leading with it in outreach</t>
        </is>
      </c>
      <c r="L15" s="14" t="inlineStr">
        <is>
          <t>Validate via VoC interviews; do not lead outreach with this ICP until Tasks 46-49 legal-reviewed</t>
        </is>
      </c>
    </row>
    <row r="16" ht="15" customHeight="1" s="11">
      <c r="A16" s="13" t="n">
        <v>15</v>
      </c>
      <c r="B16" s="13" t="inlineStr">
        <is>
          <t>ICP Research</t>
        </is>
      </c>
      <c r="C16" s="14" t="inlineStr">
        <is>
          <t>Draft ICP cards — Digital Marketing</t>
        </is>
      </c>
      <c r="D16" s="13" t="inlineStr">
        <is>
          <t>High</t>
        </is>
      </c>
      <c r="E16" s="13" t="inlineStr">
        <is>
          <t>Sales</t>
        </is>
      </c>
      <c r="F16" s="13" t="inlineStr">
        <is>
          <t>2026-08-06</t>
        </is>
      </c>
      <c r="G16" s="13" t="inlineStr">
        <is>
          <t>2026-08-06</t>
        </is>
      </c>
      <c r="H16" s="13" t="inlineStr">
        <is>
          <t>In Progress</t>
        </is>
      </c>
      <c r="I16" s="15" t="n">
        <v>0.6</v>
      </c>
      <c r="J16" s="13" t="inlineStr">
        <is>
          <t>03-ICP-Buyer-Research/ICP-Cards/ICP_DigitalMarketing_SaaS-Tech.md</t>
        </is>
      </c>
      <c r="K16" s="14" t="inlineStr">
        <is>
          <t>Hypothesis-stage — needs VoC validation</t>
        </is>
      </c>
      <c r="L16" s="14" t="inlineStr">
        <is>
          <t>Validate via 5+ SaaS-segment VoC interviews</t>
        </is>
      </c>
    </row>
    <row r="17" ht="15" customHeight="1" s="11">
      <c r="A17" s="13" t="n">
        <v>16</v>
      </c>
      <c r="B17" s="13" t="inlineStr">
        <is>
          <t>ICP Research</t>
        </is>
      </c>
      <c r="C17" s="14" t="inlineStr">
        <is>
          <t>Draft ICP cards — IT Services</t>
        </is>
      </c>
      <c r="D17" s="13" t="inlineStr">
        <is>
          <t>High</t>
        </is>
      </c>
      <c r="E17" s="13" t="inlineStr">
        <is>
          <t>Sales</t>
        </is>
      </c>
      <c r="F17" s="13" t="inlineStr">
        <is>
          <t>2026-08-06</t>
        </is>
      </c>
      <c r="G17" s="13" t="inlineStr">
        <is>
          <t>2026-08-06</t>
        </is>
      </c>
      <c r="H17" s="13" t="inlineStr">
        <is>
          <t>In Progress</t>
        </is>
      </c>
      <c r="I17" s="15" t="n">
        <v>0.6</v>
      </c>
      <c r="J17" s="13" t="inlineStr">
        <is>
          <t>03-ICP-Buyer-Research/ICP-Cards/ICP_ITServices_ProfessionalServices.md</t>
        </is>
      </c>
      <c r="K17" s="14" t="inlineStr">
        <is>
          <t>Hypothesis-stage — needs VoC validation</t>
        </is>
      </c>
      <c r="L17" s="14" t="inlineStr">
        <is>
          <t>Validate via 5+ professional-services VoC interviews</t>
        </is>
      </c>
    </row>
    <row r="18" ht="15" customHeight="1" s="11">
      <c r="A18" s="13" t="n">
        <v>17</v>
      </c>
      <c r="B18" s="13" t="inlineStr">
        <is>
          <t>ICP Research</t>
        </is>
      </c>
      <c r="C18" s="14" t="inlineStr">
        <is>
          <t>Draft ICP cards — AI &amp; Automation</t>
        </is>
      </c>
      <c r="D18" s="13" t="inlineStr">
        <is>
          <t>High</t>
        </is>
      </c>
      <c r="E18" s="13" t="inlineStr">
        <is>
          <t>Sales</t>
        </is>
      </c>
      <c r="F18" s="13" t="inlineStr">
        <is>
          <t>2026-08-06</t>
        </is>
      </c>
      <c r="G18" s="13" t="inlineStr">
        <is>
          <t>2026-08-06</t>
        </is>
      </c>
      <c r="H18" s="13" t="inlineStr">
        <is>
          <t>In Progress</t>
        </is>
      </c>
      <c r="I18" s="15" t="n">
        <v>0.6</v>
      </c>
      <c r="J18" s="13" t="inlineStr">
        <is>
          <t>03-ICP-Buyer-Research/ICP-Cards/ICP_AIAutomation_Ecommerce.md</t>
        </is>
      </c>
      <c r="K18" s="14" t="inlineStr">
        <is>
          <t>Hypothesis-stage — needs VoC validation</t>
        </is>
      </c>
      <c r="L18" s="14" t="inlineStr">
        <is>
          <t>Validate via 5+ e-commerce/DTC VoC interviews</t>
        </is>
      </c>
    </row>
    <row r="19" ht="15" customHeight="1" s="11">
      <c r="A19" s="13" t="n">
        <v>18</v>
      </c>
      <c r="B19" s="13" t="inlineStr">
        <is>
          <t>ICP Research</t>
        </is>
      </c>
      <c r="C19" s="14" t="inlineStr">
        <is>
          <t>Draft ICP cards — Web Development</t>
        </is>
      </c>
      <c r="D19" s="13" t="inlineStr">
        <is>
          <t>High</t>
        </is>
      </c>
      <c r="E19" s="13" t="inlineStr">
        <is>
          <t>Sales</t>
        </is>
      </c>
      <c r="F19" s="13" t="inlineStr">
        <is>
          <t>2026-08-06</t>
        </is>
      </c>
      <c r="G19" s="13" t="inlineStr">
        <is>
          <t>2026-08-06</t>
        </is>
      </c>
      <c r="H19" s="13" t="inlineStr">
        <is>
          <t>In Progress</t>
        </is>
      </c>
      <c r="I19" s="15" t="n">
        <v>0.6</v>
      </c>
      <c r="J19" s="13" t="inlineStr">
        <is>
          <t>03-ICP-Buyer-Research/ICP-Cards/ICP_WebDevelopment_SaaS-ProfessionalServices.md</t>
        </is>
      </c>
      <c r="K19" s="14" t="inlineStr">
        <is>
          <t>Hypothesis-stage — needs VoC validation</t>
        </is>
      </c>
      <c r="L19" s="14" t="inlineStr">
        <is>
          <t>Validate via VoC interviews</t>
        </is>
      </c>
    </row>
    <row r="20" ht="15" customHeight="1" s="11">
      <c r="A20" s="13" t="n">
        <v>19</v>
      </c>
      <c r="B20" s="13" t="inlineStr">
        <is>
          <t>ICP Research</t>
        </is>
      </c>
      <c r="C20" s="14" t="inlineStr">
        <is>
          <t>Draft ICP cards — Virtual Assistant Services</t>
        </is>
      </c>
      <c r="D20" s="13" t="inlineStr">
        <is>
          <t>Medium</t>
        </is>
      </c>
      <c r="E20" s="13" t="inlineStr">
        <is>
          <t>Sales</t>
        </is>
      </c>
      <c r="F20" s="13" t="inlineStr">
        <is>
          <t>2026-08-06</t>
        </is>
      </c>
      <c r="G20" s="13" t="inlineStr">
        <is>
          <t>2026-08-06</t>
        </is>
      </c>
      <c r="H20" s="13" t="inlineStr">
        <is>
          <t>In Progress</t>
        </is>
      </c>
      <c r="I20" s="15" t="n">
        <v>0.6</v>
      </c>
      <c r="J20" s="13" t="inlineStr">
        <is>
          <t>03-ICP-Buyer-Research/ICP-Cards/ICP_VirtualAssistant_Founders.md</t>
        </is>
      </c>
      <c r="K20" s="14" t="inlineStr">
        <is>
          <t>Hypothesis-stage — needs VoC validation</t>
        </is>
      </c>
      <c r="L20" s="14" t="inlineStr">
        <is>
          <t>Validate via VoC interviews</t>
        </is>
      </c>
    </row>
    <row r="21" ht="15" customHeight="1" s="11">
      <c r="A21" s="13" t="n">
        <v>20</v>
      </c>
      <c r="B21" s="13" t="inlineStr">
        <is>
          <t>ICP Research</t>
        </is>
      </c>
      <c r="C21" s="14" t="inlineStr">
        <is>
          <t>Draft ICP cards — Graphic Design</t>
        </is>
      </c>
      <c r="D21" s="13" t="inlineStr">
        <is>
          <t>Medium</t>
        </is>
      </c>
      <c r="E21" s="13" t="inlineStr">
        <is>
          <t>Sales</t>
        </is>
      </c>
      <c r="F21" s="13" t="inlineStr">
        <is>
          <t>2026-08-06</t>
        </is>
      </c>
      <c r="G21" s="13" t="inlineStr">
        <is>
          <t>2026-08-06</t>
        </is>
      </c>
      <c r="H21" s="13" t="inlineStr">
        <is>
          <t>In Progress</t>
        </is>
      </c>
      <c r="I21" s="15" t="n">
        <v>0.6</v>
      </c>
      <c r="J21" s="13" t="inlineStr">
        <is>
          <t>03-ICP-Buyer-Research/ICP-Cards/ICP_GraphicDesign_Ecommerce.md</t>
        </is>
      </c>
      <c r="K21" s="14" t="inlineStr">
        <is>
          <t>Hypothesis-stage — needs VoC validation</t>
        </is>
      </c>
      <c r="L21" s="14" t="inlineStr">
        <is>
          <t>Validate via VoC interviews</t>
        </is>
      </c>
    </row>
    <row r="22" ht="15" customHeight="1" s="11">
      <c r="A22" s="13" t="n">
        <v>21</v>
      </c>
      <c r="B22" s="13" t="inlineStr">
        <is>
          <t>ICP Research</t>
        </is>
      </c>
      <c r="C22" s="14" t="inlineStr">
        <is>
          <t>Draft ICP cards — Video Editing</t>
        </is>
      </c>
      <c r="D22" s="13" t="inlineStr">
        <is>
          <t>Medium</t>
        </is>
      </c>
      <c r="E22" s="13" t="inlineStr">
        <is>
          <t>Sales</t>
        </is>
      </c>
      <c r="F22" s="13" t="inlineStr">
        <is>
          <t>2026-08-06</t>
        </is>
      </c>
      <c r="G22" s="13" t="inlineStr">
        <is>
          <t>2026-08-06</t>
        </is>
      </c>
      <c r="H22" s="13" t="inlineStr">
        <is>
          <t>In Progress</t>
        </is>
      </c>
      <c r="I22" s="15" t="n">
        <v>0.6</v>
      </c>
      <c r="J22" s="13" t="inlineStr">
        <is>
          <t>03-ICP-Buyer-Research/ICP-Cards/ICP_VideoEditing_DTC-SaaS.md</t>
        </is>
      </c>
      <c r="K22" s="14" t="inlineStr">
        <is>
          <t>Hypothesis-stage — needs VoC validation</t>
        </is>
      </c>
      <c r="L22" s="14" t="inlineStr">
        <is>
          <t>Validate via VoC interviews</t>
        </is>
      </c>
    </row>
    <row r="23" ht="15" customHeight="1" s="11">
      <c r="A23" s="13" t="n">
        <v>22</v>
      </c>
      <c r="B23" s="13" t="inlineStr">
        <is>
          <t>VoC Research</t>
        </is>
      </c>
      <c r="C23" s="14" t="inlineStr">
        <is>
          <t>Interview 5 current happy clients</t>
        </is>
      </c>
      <c r="D23" s="13" t="inlineStr">
        <is>
          <t>High</t>
        </is>
      </c>
      <c r="E23" s="13" t="inlineStr">
        <is>
          <t>Founder</t>
        </is>
      </c>
      <c r="F23" s="13" t="n"/>
      <c r="G23" s="13" t="n"/>
      <c r="H23" s="13" t="inlineStr">
        <is>
          <t>Not Started</t>
        </is>
      </c>
      <c r="I23" s="15" t="n">
        <v>0</v>
      </c>
      <c r="J23" s="13" t="inlineStr">
        <is>
          <t>03-ICP-Buyer-Research/VoC-Interviews/20260806_Secondary_VoC_Research_PublicReviews_v1.md; 20260806_Secondary_VoC_Research_SMBSurveyData_v1.md</t>
        </is>
      </c>
      <c r="K23" s="14" t="inlineStr">
        <is>
          <t>Question bank ready — needs contact list + scheduling. Interim: 2 secondary-research passes complete (Clutch/G2/Trustpilot + SMB survey data) as a stand-in per Bridge Plan Part 1</t>
        </is>
      </c>
      <c r="L23" s="14" t="inlineStr">
        <is>
          <t>Pull first 10 contacts from CRM/network (5 current or ICP-fit contacts + 5 lost prospects) and send invites; target 8-10 non-customer ICP conversations per Bridge Plan</t>
        </is>
      </c>
    </row>
    <row r="24" ht="15" customHeight="1" s="11">
      <c r="A24" s="13" t="n">
        <v>23</v>
      </c>
      <c r="B24" s="13" t="inlineStr">
        <is>
          <t>VoC Research</t>
        </is>
      </c>
      <c r="C24" s="14" t="inlineStr">
        <is>
          <t>Interview 5 lost prospects (win/loss)</t>
        </is>
      </c>
      <c r="D24" s="13" t="inlineStr">
        <is>
          <t>High</t>
        </is>
      </c>
      <c r="E24" s="13" t="inlineStr">
        <is>
          <t>Sales</t>
        </is>
      </c>
      <c r="F24" s="13" t="n"/>
      <c r="G24" s="13" t="n"/>
      <c r="H24" s="13" t="inlineStr">
        <is>
          <t>Not Started</t>
        </is>
      </c>
      <c r="I24" s="15" t="n">
        <v>0</v>
      </c>
      <c r="J24" s="13" t="inlineStr">
        <is>
          <t>03-ICP-Buyer-Research/VoC-Interviews/20260806_Secondary_VoC_Research_PublicReviews_v1.md; 20260806_Secondary_VoC_Research_SMBSurveyData_v1.md</t>
        </is>
      </c>
      <c r="K24" s="14" t="inlineStr">
        <is>
          <t>Question bank ready — needs contact list + scheduling. Interim: 2 secondary-research passes complete (Clutch/G2/Trustpilot + SMB survey data) as a stand-in per Bridge Plan Part 1</t>
        </is>
      </c>
      <c r="L24" s="14" t="inlineStr">
        <is>
          <t>Pull first 10 contacts from CRM/network (5 current or ICP-fit contacts + 5 lost prospects) and send invites; target 8-10 non-customer ICP conversations per Bridge Plan</t>
        </is>
      </c>
    </row>
    <row r="25" ht="15" customHeight="1" s="11">
      <c r="A25" s="13" t="n">
        <v>24</v>
      </c>
      <c r="B25" s="13" t="inlineStr">
        <is>
          <t>VoC Research</t>
        </is>
      </c>
      <c r="C25" s="14" t="inlineStr">
        <is>
          <t>Interview 3 churned clients</t>
        </is>
      </c>
      <c r="D25" s="13" t="inlineStr">
        <is>
          <t>Medium</t>
        </is>
      </c>
      <c r="E25" s="13" t="inlineStr">
        <is>
          <t>Account Mgmt</t>
        </is>
      </c>
      <c r="F25" s="13" t="n"/>
      <c r="G25" s="13" t="n"/>
      <c r="H25" s="13" t="inlineStr">
        <is>
          <t>Not Started</t>
        </is>
      </c>
      <c r="I25" s="15" t="n">
        <v>0</v>
      </c>
      <c r="J25" s="13" t="inlineStr">
        <is>
          <t>03-ICP-Buyer-Research/VoC-Interviews/20260806_Secondary_VoC_Research_PublicReviews_v1.md; 20260806_Secondary_VoC_Research_SMBSurveyData_v1.md</t>
        </is>
      </c>
      <c r="K25" s="14" t="inlineStr">
        <is>
          <t>Question bank ready — needs contact list + scheduling. Interim: 2 secondary-research passes complete (Clutch/G2/Trustpilot + SMB survey data) as a stand-in per Bridge Plan Part 1</t>
        </is>
      </c>
      <c r="L25" s="14" t="inlineStr">
        <is>
          <t>Pull first 10 contacts from CRM/network (5 current or ICP-fit contacts + 5 lost prospects) and send invites; target 8-10 non-customer ICP conversations per Bridge Plan</t>
        </is>
      </c>
    </row>
    <row r="26" ht="15" customHeight="1" s="11">
      <c r="A26" s="13" t="n">
        <v>25</v>
      </c>
      <c r="B26" s="13" t="inlineStr">
        <is>
          <t>VoC Research</t>
        </is>
      </c>
      <c r="C26" s="14" t="inlineStr">
        <is>
          <t>Code and synthesize interview transcripts</t>
        </is>
      </c>
      <c r="D26" s="13" t="inlineStr">
        <is>
          <t>High</t>
        </is>
      </c>
      <c r="E26" s="13" t="inlineStr">
        <is>
          <t>Research</t>
        </is>
      </c>
      <c r="F26" s="13" t="n"/>
      <c r="G26" s="13" t="n"/>
      <c r="H26" s="13" t="inlineStr">
        <is>
          <t>Not Started</t>
        </is>
      </c>
      <c r="I26" s="15" t="n">
        <v>0</v>
      </c>
      <c r="J26" s="13" t="n"/>
      <c r="K26" s="14" t="inlineStr">
        <is>
          <t>Dep: Tasks 22-24</t>
        </is>
      </c>
      <c r="L26" s="14" t="inlineStr">
        <is>
          <t>Build coding sheet</t>
        </is>
      </c>
    </row>
    <row r="27" ht="15" customHeight="1" s="11">
      <c r="A27" s="13" t="n">
        <v>26</v>
      </c>
      <c r="B27" s="13" t="inlineStr">
        <is>
          <t>VoC Research</t>
        </is>
      </c>
      <c r="C27" s="14" t="inlineStr">
        <is>
          <t>Launch quarterly NPS survey</t>
        </is>
      </c>
      <c r="D27" s="13" t="inlineStr">
        <is>
          <t>Medium</t>
        </is>
      </c>
      <c r="E27" s="13" t="inlineStr">
        <is>
          <t>Account Mgmt</t>
        </is>
      </c>
      <c r="F27" s="13" t="n"/>
      <c r="G27" s="13" t="n"/>
      <c r="H27" s="13" t="inlineStr">
        <is>
          <t>Not Started</t>
        </is>
      </c>
      <c r="I27" s="15" t="n">
        <v>0</v>
      </c>
      <c r="J27" s="13" t="n"/>
      <c r="K27" s="14" t="n"/>
      <c r="L27" s="14" t="inlineStr">
        <is>
          <t>Select survey tool</t>
        </is>
      </c>
    </row>
    <row r="28" ht="15" customHeight="1" s="11">
      <c r="A28" s="13" t="n">
        <v>27</v>
      </c>
      <c r="B28" s="13" t="inlineStr">
        <is>
          <t>Positioning</t>
        </is>
      </c>
      <c r="C28" s="14" t="inlineStr">
        <is>
          <t>Draft messaging house (pillars + proof points)</t>
        </is>
      </c>
      <c r="D28" s="13" t="inlineStr">
        <is>
          <t>High</t>
        </is>
      </c>
      <c r="E28" s="13" t="inlineStr">
        <is>
          <t>Marketing</t>
        </is>
      </c>
      <c r="F28" s="13" t="inlineStr">
        <is>
          <t>2026-08-06</t>
        </is>
      </c>
      <c r="G28" s="13" t="inlineStr">
        <is>
          <t>2026-08-06</t>
        </is>
      </c>
      <c r="H28" s="13" t="inlineStr">
        <is>
          <t>In Progress</t>
        </is>
      </c>
      <c r="I28" s="15" t="n">
        <v>0.6</v>
      </c>
      <c r="J28" s="13" t="inlineStr">
        <is>
          <t>04-Positioning-Offers/Messaging_House_v1.md</t>
        </is>
      </c>
      <c r="K28" s="14" t="inlineStr">
        <is>
          <t>Hypothesis-stage — refined by 2 secondary-research passes, still needs primary VoC validation</t>
        </is>
      </c>
      <c r="L28" s="14" t="inlineStr">
        <is>
          <t>Refine with real client language from VoC interviews</t>
        </is>
      </c>
    </row>
    <row r="29" ht="15" customHeight="1" s="11">
      <c r="A29" s="13" t="n">
        <v>28</v>
      </c>
      <c r="B29" s="13" t="inlineStr">
        <is>
          <t>Positioning</t>
        </is>
      </c>
      <c r="C29" s="14" t="inlineStr">
        <is>
          <t>Write value proposition per ICP</t>
        </is>
      </c>
      <c r="D29" s="13" t="inlineStr">
        <is>
          <t>High</t>
        </is>
      </c>
      <c r="E29" s="13" t="inlineStr">
        <is>
          <t>Marketing</t>
        </is>
      </c>
      <c r="F29" s="13" t="inlineStr">
        <is>
          <t>2026-08-06</t>
        </is>
      </c>
      <c r="G29" s="13" t="inlineStr">
        <is>
          <t>2026-08-06</t>
        </is>
      </c>
      <c r="H29" s="13" t="inlineStr">
        <is>
          <t>In Progress</t>
        </is>
      </c>
      <c r="I29" s="15" t="n">
        <v>0.6</v>
      </c>
      <c r="J29" s="13" t="inlineStr">
        <is>
          <t>04-Positioning-Offers/Value_Propositions_By_ICP_v1.md</t>
        </is>
      </c>
      <c r="K29" s="14" t="inlineStr">
        <is>
          <t>Hypothesis-stage — refined by 2 secondary-research passes, still needs primary VoC validation</t>
        </is>
      </c>
      <c r="L29" s="14" t="inlineStr">
        <is>
          <t>Refine with real client language from VoC interviews</t>
        </is>
      </c>
    </row>
    <row r="30" ht="15" customHeight="1" s="11">
      <c r="A30" s="13" t="n">
        <v>29</v>
      </c>
      <c r="B30" s="13" t="inlineStr">
        <is>
          <t>Positioning</t>
        </is>
      </c>
      <c r="C30" s="14" t="inlineStr">
        <is>
          <t>Test messaging with 5 live prospects</t>
        </is>
      </c>
      <c r="D30" s="13" t="inlineStr">
        <is>
          <t>Medium</t>
        </is>
      </c>
      <c r="E30" s="13" t="inlineStr">
        <is>
          <t>Sales</t>
        </is>
      </c>
      <c r="F30" s="13" t="n"/>
      <c r="G30" s="13" t="n"/>
      <c r="H30" s="13" t="inlineStr">
        <is>
          <t>Not Started</t>
        </is>
      </c>
      <c r="I30" s="15" t="n">
        <v>0</v>
      </c>
      <c r="J30" s="13" t="n"/>
      <c r="K30" s="14" t="inlineStr">
        <is>
          <t>Blocked until 5 live prospect conversations available</t>
        </is>
      </c>
      <c r="L30" s="14" t="inlineStr">
        <is>
          <t>Run once VoC/sales calls begin</t>
        </is>
      </c>
    </row>
    <row r="31" ht="15" customHeight="1" s="11">
      <c r="A31" s="13" t="n">
        <v>30</v>
      </c>
      <c r="B31" s="13" t="inlineStr">
        <is>
          <t>Offer Design</t>
        </is>
      </c>
      <c r="C31" s="14" t="inlineStr">
        <is>
          <t>Design package tiers — Digital Marketing</t>
        </is>
      </c>
      <c r="D31" s="13" t="inlineStr">
        <is>
          <t>High</t>
        </is>
      </c>
      <c r="E31" s="13" t="inlineStr">
        <is>
          <t>Founder</t>
        </is>
      </c>
      <c r="F31" s="13" t="inlineStr">
        <is>
          <t>2026-08-06</t>
        </is>
      </c>
      <c r="G31" s="13" t="inlineStr">
        <is>
          <t>2026-08-06</t>
        </is>
      </c>
      <c r="H31" s="13" t="inlineStr">
        <is>
          <t>In Progress</t>
        </is>
      </c>
      <c r="I31" s="15" t="n">
        <v>0.85</v>
      </c>
      <c r="J31" s="13" t="inlineStr">
        <is>
          <t>04-Positioning-Offers/Package_Pricing_AllServiceLines_v2.md</t>
        </is>
      </c>
      <c r="K31" s="14" t="inlineStr">
        <is>
          <t>Real competitor data now in hand — reduced to a founder lane decision (see v2 doc), not a research gap</t>
        </is>
      </c>
      <c r="L31" s="14" t="inlineStr">
        <is>
          <t>Founder picks Lane A/B per v2 doc's explicit options</t>
        </is>
      </c>
    </row>
    <row r="32" ht="15" customHeight="1" s="11">
      <c r="A32" s="13" t="n">
        <v>31</v>
      </c>
      <c r="B32" s="13" t="inlineStr">
        <is>
          <t>Offer Design</t>
        </is>
      </c>
      <c r="C32" s="14" t="inlineStr">
        <is>
          <t>Design package tiers — IT Services</t>
        </is>
      </c>
      <c r="D32" s="13" t="inlineStr">
        <is>
          <t>High</t>
        </is>
      </c>
      <c r="E32" s="13" t="inlineStr">
        <is>
          <t>Founder</t>
        </is>
      </c>
      <c r="F32" s="13" t="inlineStr">
        <is>
          <t>2026-08-06</t>
        </is>
      </c>
      <c r="G32" s="13" t="inlineStr">
        <is>
          <t>2026-08-06</t>
        </is>
      </c>
      <c r="H32" s="13" t="inlineStr">
        <is>
          <t>In Progress</t>
        </is>
      </c>
      <c r="I32" s="15" t="n">
        <v>0.9</v>
      </c>
      <c r="J32" s="13" t="inlineStr">
        <is>
          <t>04-Positioning-Offers/Package_Pricing_AllServiceLines_v2.md</t>
        </is>
      </c>
      <c r="K32" s="14" t="inlineStr">
        <is>
          <t>Resolved via real competitor pricing data — validated, no founder decision needed</t>
        </is>
      </c>
      <c r="L32" s="14" t="inlineStr">
        <is>
          <t>Publish v2 as final once founder does a final skim</t>
        </is>
      </c>
    </row>
    <row r="33" ht="15" customHeight="1" s="11">
      <c r="A33" s="13" t="n">
        <v>32</v>
      </c>
      <c r="B33" s="13" t="inlineStr">
        <is>
          <t>Offer Design</t>
        </is>
      </c>
      <c r="C33" s="14" t="inlineStr">
        <is>
          <t>Design package tiers — AI &amp; Automation</t>
        </is>
      </c>
      <c r="D33" s="13" t="inlineStr">
        <is>
          <t>High</t>
        </is>
      </c>
      <c r="E33" s="13" t="inlineStr">
        <is>
          <t>Founder</t>
        </is>
      </c>
      <c r="F33" s="13" t="inlineStr">
        <is>
          <t>2026-08-06</t>
        </is>
      </c>
      <c r="G33" s="13" t="inlineStr">
        <is>
          <t>2026-08-06</t>
        </is>
      </c>
      <c r="H33" s="13" t="inlineStr">
        <is>
          <t>In Progress</t>
        </is>
      </c>
      <c r="I33" s="15" t="n">
        <v>0.9</v>
      </c>
      <c r="J33" s="13" t="inlineStr">
        <is>
          <t>04-Positioning-Offers/Package_Pricing_AllServiceLines_v2.md</t>
        </is>
      </c>
      <c r="K33" s="14" t="inlineStr">
        <is>
          <t>Resolved via real competitor pricing data — validated, no founder decision needed</t>
        </is>
      </c>
      <c r="L33" s="14" t="inlineStr">
        <is>
          <t>Publish v2 as final once founder does a final skim</t>
        </is>
      </c>
    </row>
    <row r="34" ht="15" customHeight="1" s="11">
      <c r="A34" s="13" t="n">
        <v>33</v>
      </c>
      <c r="B34" s="13" t="inlineStr">
        <is>
          <t>Offer Design</t>
        </is>
      </c>
      <c r="C34" s="14" t="inlineStr">
        <is>
          <t>Design package tiers — Web Development</t>
        </is>
      </c>
      <c r="D34" s="13" t="inlineStr">
        <is>
          <t>High</t>
        </is>
      </c>
      <c r="E34" s="13" t="inlineStr">
        <is>
          <t>Founder</t>
        </is>
      </c>
      <c r="F34" s="13" t="inlineStr">
        <is>
          <t>2026-08-06</t>
        </is>
      </c>
      <c r="G34" s="13" t="inlineStr">
        <is>
          <t>2026-08-06</t>
        </is>
      </c>
      <c r="H34" s="13" t="inlineStr">
        <is>
          <t>In Progress</t>
        </is>
      </c>
      <c r="I34" s="15" t="n">
        <v>0.9</v>
      </c>
      <c r="J34" s="13" t="inlineStr">
        <is>
          <t>04-Positioning-Offers/Package_Pricing_AllServiceLines_v2.md</t>
        </is>
      </c>
      <c r="K34" s="14" t="inlineStr">
        <is>
          <t>Resolved via real competitor pricing data — validated, no founder decision needed</t>
        </is>
      </c>
      <c r="L34" s="14" t="inlineStr">
        <is>
          <t>Publish v2 as final once founder does a final skim</t>
        </is>
      </c>
    </row>
    <row r="35" ht="15" customHeight="1" s="11">
      <c r="A35" s="13" t="n">
        <v>34</v>
      </c>
      <c r="B35" s="13" t="inlineStr">
        <is>
          <t>Offer Design</t>
        </is>
      </c>
      <c r="C35" s="14" t="inlineStr">
        <is>
          <t>Design package tiers — Virtual Assistant</t>
        </is>
      </c>
      <c r="D35" s="13" t="inlineStr">
        <is>
          <t>Medium</t>
        </is>
      </c>
      <c r="E35" s="13" t="inlineStr">
        <is>
          <t>Founder</t>
        </is>
      </c>
      <c r="F35" s="13" t="inlineStr">
        <is>
          <t>2026-08-06</t>
        </is>
      </c>
      <c r="G35" s="13" t="inlineStr">
        <is>
          <t>2026-08-06</t>
        </is>
      </c>
      <c r="H35" s="13" t="inlineStr">
        <is>
          <t>In Progress</t>
        </is>
      </c>
      <c r="I35" s="15" t="n">
        <v>0.85</v>
      </c>
      <c r="J35" s="13" t="inlineStr">
        <is>
          <t>04-Positioning-Offers/Package_Pricing_AllServiceLines_v2.md</t>
        </is>
      </c>
      <c r="K35" s="14" t="inlineStr">
        <is>
          <t>Real competitor data now in hand — reduced to a founder lane decision (see v2 doc), not a research gap</t>
        </is>
      </c>
      <c r="L35" s="14" t="inlineStr">
        <is>
          <t>Founder picks Lane A/B per v2 doc's explicit options</t>
        </is>
      </c>
    </row>
    <row r="36" ht="15" customHeight="1" s="11">
      <c r="A36" s="13" t="n">
        <v>35</v>
      </c>
      <c r="B36" s="13" t="inlineStr">
        <is>
          <t>Offer Design</t>
        </is>
      </c>
      <c r="C36" s="14" t="inlineStr">
        <is>
          <t>Design package tiers — Graphic Design</t>
        </is>
      </c>
      <c r="D36" s="13" t="inlineStr">
        <is>
          <t>Medium</t>
        </is>
      </c>
      <c r="E36" s="13" t="inlineStr">
        <is>
          <t>Founder</t>
        </is>
      </c>
      <c r="F36" s="13" t="inlineStr">
        <is>
          <t>2026-08-06</t>
        </is>
      </c>
      <c r="G36" s="13" t="inlineStr">
        <is>
          <t>2026-08-06</t>
        </is>
      </c>
      <c r="H36" s="13" t="inlineStr">
        <is>
          <t>In Progress</t>
        </is>
      </c>
      <c r="I36" s="15" t="n">
        <v>0.9</v>
      </c>
      <c r="J36" s="13" t="inlineStr">
        <is>
          <t>04-Positioning-Offers/Package_Pricing_AllServiceLines_v2.md</t>
        </is>
      </c>
      <c r="K36" s="14" t="inlineStr">
        <is>
          <t>Resolved via real competitor pricing data — validated, no founder decision needed</t>
        </is>
      </c>
      <c r="L36" s="14" t="inlineStr">
        <is>
          <t>Publish v2 as final once founder does a final skim</t>
        </is>
      </c>
    </row>
    <row r="37" ht="15" customHeight="1" s="11">
      <c r="A37" s="13" t="n">
        <v>36</v>
      </c>
      <c r="B37" s="13" t="inlineStr">
        <is>
          <t>Offer Design</t>
        </is>
      </c>
      <c r="C37" s="14" t="inlineStr">
        <is>
          <t>Design package tiers — Video Editing</t>
        </is>
      </c>
      <c r="D37" s="13" t="inlineStr">
        <is>
          <t>Medium</t>
        </is>
      </c>
      <c r="E37" s="13" t="inlineStr">
        <is>
          <t>Founder</t>
        </is>
      </c>
      <c r="F37" s="13" t="inlineStr">
        <is>
          <t>2026-08-06</t>
        </is>
      </c>
      <c r="G37" s="13" t="inlineStr">
        <is>
          <t>2026-08-06</t>
        </is>
      </c>
      <c r="H37" s="13" t="inlineStr">
        <is>
          <t>In Progress</t>
        </is>
      </c>
      <c r="I37" s="15" t="n">
        <v>0.85</v>
      </c>
      <c r="J37" s="13" t="inlineStr">
        <is>
          <t>04-Positioning-Offers/Package_Pricing_AllServiceLines_v2.md</t>
        </is>
      </c>
      <c r="K37" s="14" t="inlineStr">
        <is>
          <t>Real competitor data now in hand — reduced to a founder lane decision (see v2 doc), not a research gap</t>
        </is>
      </c>
      <c r="L37" s="14" t="inlineStr">
        <is>
          <t>Founder picks Lane A/B per v2 doc's explicit options</t>
        </is>
      </c>
    </row>
    <row r="38" ht="23.25" customHeight="1" s="11">
      <c r="A38" s="13" t="n">
        <v>37</v>
      </c>
      <c r="B38" s="13" t="inlineStr">
        <is>
          <t>Offer Design</t>
        </is>
      </c>
      <c r="C38" s="14" t="inlineStr">
        <is>
          <t>Build pricing corridors per country</t>
        </is>
      </c>
      <c r="D38" s="13" t="inlineStr">
        <is>
          <t>High</t>
        </is>
      </c>
      <c r="E38" s="13" t="inlineStr">
        <is>
          <t>Founder</t>
        </is>
      </c>
      <c r="F38" s="13" t="inlineStr">
        <is>
          <t>2026-08-06</t>
        </is>
      </c>
      <c r="G38" s="13" t="inlineStr">
        <is>
          <t>2026-08-06</t>
        </is>
      </c>
      <c r="H38" s="13" t="inlineStr">
        <is>
          <t>Complete</t>
        </is>
      </c>
      <c r="I38" s="15" t="n">
        <v>1</v>
      </c>
      <c r="J38" s="13" t="inlineStr">
        <is>
          <t>04-Positioning-Offers/Pricing_Corridors_By_Country_v1.md</t>
        </is>
      </c>
      <c r="K38" s="14" t="n"/>
      <c r="L38" s="14" t="inlineStr">
        <is>
          <t>Re-validate after first 5-10 real deals close per country</t>
        </is>
      </c>
    </row>
    <row r="39" ht="15" customHeight="1" s="11">
      <c r="A39" s="13" t="n">
        <v>38</v>
      </c>
      <c r="B39" s="13" t="inlineStr">
        <is>
          <t>Channels &amp; Sales</t>
        </is>
      </c>
      <c r="C39" s="14" t="inlineStr">
        <is>
          <t>Set up/clean CRM pipeline stages</t>
        </is>
      </c>
      <c r="D39" s="13" t="inlineStr">
        <is>
          <t>High</t>
        </is>
      </c>
      <c r="E39" s="13" t="inlineStr">
        <is>
          <t>Ops</t>
        </is>
      </c>
      <c r="F39" s="13" t="inlineStr">
        <is>
          <t>2026-08-06</t>
        </is>
      </c>
      <c r="G39" s="13" t="inlineStr">
        <is>
          <t>2026-08-06</t>
        </is>
      </c>
      <c r="H39" s="13" t="inlineStr">
        <is>
          <t>In Progress</t>
        </is>
      </c>
      <c r="I39" s="15" t="n">
        <v>0.85</v>
      </c>
      <c r="J39" s="13" t="inlineStr">
        <is>
          <t>05-Channels-Sales-Systems/Odoo_CRM_Setup_Guide_v1.md</t>
        </is>
      </c>
      <c r="K39" s="14" t="inlineStr">
        <is>
          <t>Tool selection resolved (Odoo, already company-wide) — remaining gap is live configuration in the Odoo instance, not desk research</t>
        </is>
      </c>
      <c r="L39" s="14" t="inlineStr">
        <is>
          <t>Implement the 8-item setup checklist in Odoo_CRM_Setup_Guide_v1.md directly in the live instance</t>
        </is>
      </c>
    </row>
    <row r="40" ht="15" customHeight="1" s="11">
      <c r="A40" s="13" t="n">
        <v>39</v>
      </c>
      <c r="B40" s="13" t="inlineStr">
        <is>
          <t>Channels &amp; Sales</t>
        </is>
      </c>
      <c r="C40" s="14" t="inlineStr">
        <is>
          <t>Build cold email sequence (v1)</t>
        </is>
      </c>
      <c r="D40" s="13" t="inlineStr">
        <is>
          <t>High</t>
        </is>
      </c>
      <c r="E40" s="13" t="inlineStr">
        <is>
          <t>Sales</t>
        </is>
      </c>
      <c r="F40" s="13" t="inlineStr">
        <is>
          <t>2026-08-06</t>
        </is>
      </c>
      <c r="G40" s="13" t="inlineStr">
        <is>
          <t>2026-08-06</t>
        </is>
      </c>
      <c r="H40" s="13" t="inlineStr">
        <is>
          <t>Complete</t>
        </is>
      </c>
      <c r="I40" s="15" t="n">
        <v>1</v>
      </c>
      <c r="J40" s="13" t="inlineStr">
        <is>
          <t>05-Channels-Sales-Systems/Cold_Email_Sequence_v1.md</t>
        </is>
      </c>
      <c r="K40" s="14" t="inlineStr">
        <is>
          <t>Hypothesis-stage — unvalidated against real reply-rate data</t>
        </is>
      </c>
      <c r="L40" s="14" t="inlineStr">
        <is>
          <t>Pilot Batch 1 (100 contacts, 1 ICP/country) per Email Testing Matrix</t>
        </is>
      </c>
    </row>
    <row r="41" ht="15" customHeight="1" s="11">
      <c r="A41" s="13" t="n">
        <v>40</v>
      </c>
      <c r="B41" s="13" t="inlineStr">
        <is>
          <t>Channels &amp; Sales</t>
        </is>
      </c>
      <c r="C41" s="14" t="inlineStr">
        <is>
          <t>Build LinkedIn outreach sequence (v1)</t>
        </is>
      </c>
      <c r="D41" s="13" t="inlineStr">
        <is>
          <t>High</t>
        </is>
      </c>
      <c r="E41" s="13" t="inlineStr">
        <is>
          <t>Sales</t>
        </is>
      </c>
      <c r="F41" s="13" t="inlineStr">
        <is>
          <t>2026-08-06</t>
        </is>
      </c>
      <c r="G41" s="13" t="inlineStr">
        <is>
          <t>2026-08-06</t>
        </is>
      </c>
      <c r="H41" s="13" t="inlineStr">
        <is>
          <t>Complete</t>
        </is>
      </c>
      <c r="I41" s="15" t="n">
        <v>1</v>
      </c>
      <c r="J41" s="13" t="inlineStr">
        <is>
          <t>05-Channels-Sales-Systems/LinkedIn_Outreach_Sequence_v1.md</t>
        </is>
      </c>
      <c r="K41" s="14" t="inlineStr">
        <is>
          <t>Hypothesis-stage — unvalidated against real accept/reply-rate data</t>
        </is>
      </c>
      <c r="L41" s="14" t="inlineStr">
        <is>
          <t>Pilot Batch 1 (100 connections, 1 ICP/country) per LinkedIn Testing Matrix</t>
        </is>
      </c>
    </row>
    <row r="42" ht="15" customHeight="1" s="11">
      <c r="A42" s="13" t="n">
        <v>41</v>
      </c>
      <c r="B42" s="13" t="inlineStr">
        <is>
          <t>Channels &amp; Sales</t>
        </is>
      </c>
      <c r="C42" s="14" t="inlineStr">
        <is>
          <t>Set up email domain warming/infra</t>
        </is>
      </c>
      <c r="D42" s="13" t="inlineStr">
        <is>
          <t>High</t>
        </is>
      </c>
      <c r="E42" s="13" t="inlineStr">
        <is>
          <t>Ops</t>
        </is>
      </c>
      <c r="F42" s="13" t="n"/>
      <c r="G42" s="13" t="n"/>
      <c r="H42" s="13" t="inlineStr">
        <is>
          <t>In Progress</t>
        </is>
      </c>
      <c r="I42" s="15" t="n">
        <v>0.4</v>
      </c>
      <c r="J42" s="13" t="inlineStr">
        <is>
          <t>05-Channels-Sales-Systems/Email_Domain_Warming_Infra_Setup_v1.md</t>
        </is>
      </c>
      <c r="K42" s="14" t="inlineStr">
        <is>
          <t>Plan documented; requires domain purchase + mailbox setup (execution, not desk research) to progress further</t>
        </is>
      </c>
      <c r="L42" s="14" t="inlineStr">
        <is>
          <t>Register sending domains, set up mailboxes, start Week 1 warm-up cycle</t>
        </is>
      </c>
    </row>
    <row r="43" ht="15" customHeight="1" s="11">
      <c r="A43" s="13" t="n">
        <v>42</v>
      </c>
      <c r="B43" s="13" t="inlineStr">
        <is>
          <t>Content &amp; SEO</t>
        </is>
      </c>
      <c r="C43" s="14" t="inlineStr">
        <is>
          <t>Complete keyword research (all countries)</t>
        </is>
      </c>
      <c r="D43" s="13" t="inlineStr">
        <is>
          <t>High</t>
        </is>
      </c>
      <c r="E43" s="13" t="inlineStr">
        <is>
          <t>Marketing</t>
        </is>
      </c>
      <c r="F43" s="13" t="inlineStr">
        <is>
          <t>2026-08-06</t>
        </is>
      </c>
      <c r="G43" s="13" t="inlineStr">
        <is>
          <t>2026-08-06</t>
        </is>
      </c>
      <c r="H43" s="13" t="inlineStr">
        <is>
          <t>Complete</t>
        </is>
      </c>
      <c r="I43" s="15" t="n">
        <v>1</v>
      </c>
      <c r="J43" s="13" t="inlineStr">
        <is>
          <t>05-Channels-Sales-Systems/Keyword_Map_By_Country.md</t>
        </is>
      </c>
      <c r="K43" s="14" t="inlineStr">
        <is>
          <t>Desk-research hypothesis, not pulled from Ahrefs/Semrush — no live keyword tool connected yet</t>
        </is>
      </c>
      <c r="L43" s="14" t="inlineStr">
        <is>
          <t>Connect Ahrefs/Semrush and re-pull real volume/difficulty data</t>
        </is>
      </c>
    </row>
    <row r="44" ht="15" customHeight="1" s="11">
      <c r="A44" s="13" t="n">
        <v>43</v>
      </c>
      <c r="B44" s="13" t="inlineStr">
        <is>
          <t>Content &amp; SEO</t>
        </is>
      </c>
      <c r="C44" s="14" t="inlineStr">
        <is>
          <t>Build pillar page structure (7 service lines)</t>
        </is>
      </c>
      <c r="D44" s="13" t="inlineStr">
        <is>
          <t>High</t>
        </is>
      </c>
      <c r="E44" s="13" t="inlineStr">
        <is>
          <t>Marketing</t>
        </is>
      </c>
      <c r="F44" s="13" t="inlineStr">
        <is>
          <t>2026-08-06</t>
        </is>
      </c>
      <c r="G44" s="13" t="inlineStr">
        <is>
          <t>2026-08-06</t>
        </is>
      </c>
      <c r="H44" s="13" t="inlineStr">
        <is>
          <t>Complete</t>
        </is>
      </c>
      <c r="I44" s="15" t="n">
        <v>1</v>
      </c>
      <c r="J44" s="13" t="inlineStr">
        <is>
          <t>05-Channels-Sales-Systems/Pillar_Article_Outlines_v1.md; 05-Channels-Sales-Systems/Pillar-Articles-FullCopy/ (full copy, all 7 + cross-cutting)</t>
        </is>
      </c>
      <c r="K44" s="14" t="inlineStr">
        <is>
          <t>Cross-cutting pillar Section 3 still needs founder-voice narrative; illustrative examples (AI &amp; Automation, Video Editing) need real case studies once Task 44 unblocks; not yet SEO-validated against Task 42 real keyword data</t>
        </is>
      </c>
      <c r="L44" s="14" t="inlineStr">
        <is>
          <t>Assign editorial owner for voice/brand pass (Content_Calendar_Q1.md); founder to draft cross-cutting Section 3; schedule publish dates</t>
        </is>
      </c>
    </row>
    <row r="45" ht="15" customHeight="1" s="11">
      <c r="A45" s="13" t="n">
        <v>44</v>
      </c>
      <c r="B45" s="13" t="inlineStr">
        <is>
          <t>Content &amp; SEO</t>
        </is>
      </c>
      <c r="C45" s="14" t="inlineStr">
        <is>
          <t>Produce 3 case studies</t>
        </is>
      </c>
      <c r="D45" s="13" t="inlineStr">
        <is>
          <t>High</t>
        </is>
      </c>
      <c r="E45" s="13" t="inlineStr">
        <is>
          <t>Marketing</t>
        </is>
      </c>
      <c r="F45" s="13" t="n"/>
      <c r="G45" s="13" t="n"/>
      <c r="H45" s="13" t="inlineStr">
        <is>
          <t>Blocked</t>
        </is>
      </c>
      <c r="I45" s="15" t="n">
        <v>0.15</v>
      </c>
      <c r="J45" s="13" t="inlineStr">
        <is>
          <t>05-Channels-Sales-Systems/Case_Study_Templates_v1.md</t>
        </is>
      </c>
      <c r="K45" s="14" t="inlineStr">
        <is>
          <t>Still requires real client interviews (Task 22) — but structure, question bank, and placement plan are now fill-in-ready, so turnaround once a client agrees is fast</t>
        </is>
      </c>
      <c r="L45" s="14" t="inlineStr">
        <is>
          <t>Use template the moment first Closed Won deal hits the 60-day case-study-request trigger in Odoo</t>
        </is>
      </c>
    </row>
    <row r="46" ht="15" customHeight="1" s="11">
      <c r="A46" s="13" t="n">
        <v>45</v>
      </c>
      <c r="B46" s="13" t="inlineStr">
        <is>
          <t>Content &amp; SEO</t>
        </is>
      </c>
      <c r="C46" s="14" t="inlineStr">
        <is>
          <t>Build thought-leadership content calendar (Q1)</t>
        </is>
      </c>
      <c r="D46" s="13" t="inlineStr">
        <is>
          <t>Medium</t>
        </is>
      </c>
      <c r="E46" s="13" t="inlineStr">
        <is>
          <t>Marketing</t>
        </is>
      </c>
      <c r="F46" s="13" t="inlineStr">
        <is>
          <t>2026-08-06</t>
        </is>
      </c>
      <c r="G46" s="13" t="inlineStr">
        <is>
          <t>2026-08-06</t>
        </is>
      </c>
      <c r="H46" s="13" t="inlineStr">
        <is>
          <t>Complete</t>
        </is>
      </c>
      <c r="I46" s="15" t="n">
        <v>1</v>
      </c>
      <c r="J46" s="13" t="inlineStr">
        <is>
          <t>05-Channels-Sales-Systems/Content_Calendar_Q1.md</t>
        </is>
      </c>
      <c r="K46" s="14" t="inlineStr">
        <is>
          <t>Topic bank is hypothesis-stage; real publish dates not yet set</t>
        </is>
      </c>
      <c r="L46" s="14" t="inlineStr">
        <is>
          <t>Confirm kickoff month and assign owners</t>
        </is>
      </c>
    </row>
    <row r="47" ht="15" customHeight="1" s="11">
      <c r="A47" s="13" t="n">
        <v>46</v>
      </c>
      <c r="B47" s="13" t="inlineStr">
        <is>
          <t>Trust &amp; Compliance</t>
        </is>
      </c>
      <c r="C47" s="14" t="inlineStr">
        <is>
          <t>Draft information security policy</t>
        </is>
      </c>
      <c r="D47" s="13" t="inlineStr">
        <is>
          <t>High</t>
        </is>
      </c>
      <c r="E47" s="13" t="inlineStr">
        <is>
          <t>Ops</t>
        </is>
      </c>
      <c r="F47" s="13" t="n"/>
      <c r="G47" s="13" t="n"/>
      <c r="H47" s="13" t="inlineStr">
        <is>
          <t>In Progress</t>
        </is>
      </c>
      <c r="I47" s="15" t="n">
        <v>0.8</v>
      </c>
      <c r="J47" s="13" t="inlineStr">
        <is>
          <t>06-Trust-Compliance/Information_Security_Policy_v1.md</t>
        </is>
      </c>
      <c r="K47" s="14" t="inlineStr">
        <is>
          <t>Legal review needed before external use</t>
        </is>
      </c>
      <c r="L47" s="14" t="inlineStr">
        <is>
          <t>Route to legal counsel for review</t>
        </is>
      </c>
    </row>
    <row r="48" ht="15" customHeight="1" s="11">
      <c r="A48" s="13" t="n">
        <v>47</v>
      </c>
      <c r="B48" s="13" t="inlineStr">
        <is>
          <t>Trust &amp; Compliance</t>
        </is>
      </c>
      <c r="C48" s="14" t="inlineStr">
        <is>
          <t>Draft data handling policy</t>
        </is>
      </c>
      <c r="D48" s="13" t="inlineStr">
        <is>
          <t>High</t>
        </is>
      </c>
      <c r="E48" s="13" t="inlineStr">
        <is>
          <t>Ops</t>
        </is>
      </c>
      <c r="F48" s="13" t="n"/>
      <c r="G48" s="13" t="n"/>
      <c r="H48" s="13" t="inlineStr">
        <is>
          <t>In Progress</t>
        </is>
      </c>
      <c r="I48" s="15" t="n">
        <v>0.8</v>
      </c>
      <c r="J48" s="13" t="inlineStr">
        <is>
          <t>06-Trust-Compliance/Data_Handling_Policy_v1.md</t>
        </is>
      </c>
      <c r="K48" s="14" t="inlineStr">
        <is>
          <t>Legal review needed, especially the 5-country regional compliance statements</t>
        </is>
      </c>
      <c r="L48" s="14" t="inlineStr">
        <is>
          <t>Route to legal counsel for review</t>
        </is>
      </c>
    </row>
    <row r="49" ht="15" customHeight="1" s="11">
      <c r="A49" s="13" t="n">
        <v>48</v>
      </c>
      <c r="B49" s="13" t="inlineStr">
        <is>
          <t>Trust &amp; Compliance</t>
        </is>
      </c>
      <c r="C49" s="14" t="inlineStr">
        <is>
          <t>Build vendor security questionnaire answer bank</t>
        </is>
      </c>
      <c r="D49" s="13" t="inlineStr">
        <is>
          <t>Medium</t>
        </is>
      </c>
      <c r="E49" s="13" t="inlineStr">
        <is>
          <t>Ops</t>
        </is>
      </c>
      <c r="F49" s="13" t="n"/>
      <c r="G49" s="13" t="n"/>
      <c r="H49" s="13" t="inlineStr">
        <is>
          <t>Complete</t>
        </is>
      </c>
      <c r="I49" s="15" t="n">
        <v>1</v>
      </c>
      <c r="J49" s="13" t="inlineStr">
        <is>
          <t>06-Trust-Compliance/Vendor_Security_Questionnaire_AnswerBank.md</t>
        </is>
      </c>
      <c r="K49" s="14" t="inlineStr">
        <is>
          <t>Cyber liability/E&amp;O insurance gap surfaced — not yet purchased</t>
        </is>
      </c>
      <c r="L49" s="14" t="inlineStr">
        <is>
          <t>Founder to evaluate and purchase E&amp;O/cyber liability coverage</t>
        </is>
      </c>
    </row>
    <row r="50" ht="15" customHeight="1" s="11">
      <c r="A50" s="13" t="n">
        <v>49</v>
      </c>
      <c r="B50" s="13" t="inlineStr">
        <is>
          <t>Trust &amp; Compliance</t>
        </is>
      </c>
      <c r="C50" s="14" t="inlineStr">
        <is>
          <t>Finalize MSA/SOW/NDA templates</t>
        </is>
      </c>
      <c r="D50" s="13" t="inlineStr">
        <is>
          <t>High</t>
        </is>
      </c>
      <c r="E50" s="13" t="inlineStr">
        <is>
          <t>Founder</t>
        </is>
      </c>
      <c r="F50" s="13" t="n"/>
      <c r="G50" s="13" t="n"/>
      <c r="H50" s="13" t="inlineStr">
        <is>
          <t>In Progress</t>
        </is>
      </c>
      <c r="I50" s="15" t="n">
        <v>0.7</v>
      </c>
      <c r="J50" s="13" t="inlineStr">
        <is>
          <t>06-Trust-Compliance/MSA_Template.md; SOW_Template.md; NDA_Template.md</t>
        </is>
      </c>
      <c r="K50" s="14" t="inlineStr">
        <is>
          <t>Legal review required; governing law/dispute-resolution jurisdiction undecided (blocks finalization even after legal review)</t>
        </is>
      </c>
      <c r="L50" s="14" t="inlineStr">
        <is>
          <t>Founder + legal decide governing law, then complete legal review</t>
        </is>
      </c>
    </row>
    <row r="51" ht="15" customHeight="1" s="11">
      <c r="A51" s="13" t="n">
        <v>50</v>
      </c>
      <c r="B51" s="13" t="inlineStr">
        <is>
          <t>Metrics</t>
        </is>
      </c>
      <c r="C51" s="14" t="inlineStr">
        <is>
          <t>Build executive KPI dashboard (v1)</t>
        </is>
      </c>
      <c r="D51" s="13" t="inlineStr">
        <is>
          <t>High</t>
        </is>
      </c>
      <c r="E51" s="13" t="inlineStr">
        <is>
          <t>Ops</t>
        </is>
      </c>
      <c r="F51" s="13" t="n"/>
      <c r="G51" s="13" t="n"/>
      <c r="H51" s="13" t="inlineStr">
        <is>
          <t>In Progress</t>
        </is>
      </c>
      <c r="I51" s="15" t="n">
        <v>0.6</v>
      </c>
      <c r="J51" s="13" t="inlineStr">
        <is>
          <t>07-Metrics-Dashboards/KPI_Definitions_Master.md; Dashboard_Tool_Spec.md (v2); Odoo_CRM_Setup_Guide_v1.md</t>
        </is>
      </c>
      <c r="K51" s="14" t="inlineStr">
        <is>
          <t>Tool ambiguity resolved (Odoo native reporting + Looker for GA4) — still blocked on live Task 38 configuration for real data</t>
        </is>
      </c>
      <c r="L51" s="14" t="inlineStr">
        <is>
          <t>Once Odoo CRM pipeline is configured, build the 3 Odoo Spreadsheet dashboard views per Dashboard_Tool_Spec.md v2</t>
        </is>
      </c>
    </row>
    <row r="52" ht="15" customHeight="1" s="11">
      <c r="A52" s="13" t="n">
        <v>51</v>
      </c>
      <c r="B52" s="13" t="inlineStr">
        <is>
          <t>Metrics</t>
        </is>
      </c>
      <c r="C52" s="14" t="inlineStr">
        <is>
          <t>Define KPI owners and reporting cadence</t>
        </is>
      </c>
      <c r="D52" s="13" t="inlineStr">
        <is>
          <t>Medium</t>
        </is>
      </c>
      <c r="E52" s="13" t="inlineStr">
        <is>
          <t>Founder</t>
        </is>
      </c>
      <c r="F52" s="13" t="n"/>
      <c r="G52" s="13" t="n"/>
      <c r="H52" s="13" t="inlineStr">
        <is>
          <t>In Progress</t>
        </is>
      </c>
      <c r="I52" s="15" t="n">
        <v>0.6</v>
      </c>
      <c r="J52" s="13" t="inlineStr">
        <is>
          <t>07-Metrics-Dashboards/KPI_Definitions_Master.md (Reporting Cadence &amp; Ownership section)</t>
        </is>
      </c>
      <c r="K52" s="14" t="inlineStr">
        <is>
          <t>Ownership currently defaults to Founder per placeholder RACI — needs real names</t>
        </is>
      </c>
      <c r="L52" s="14" t="inlineStr">
        <is>
          <t>Assign in RACI (Task 3), then update KPI ownership section with real names</t>
        </is>
      </c>
    </row>
    <row r="53" ht="15" customHeight="1" s="11">
      <c r="A53" s="13" t="n">
        <v>52</v>
      </c>
      <c r="B53" s="13" t="inlineStr">
        <is>
          <t>Governance</t>
        </is>
      </c>
      <c r="C53" s="14" t="inlineStr">
        <is>
          <t>Schedule recurring weekly review</t>
        </is>
      </c>
      <c r="D53" s="13" t="inlineStr">
        <is>
          <t>Medium</t>
        </is>
      </c>
      <c r="E53" s="13" t="inlineStr">
        <is>
          <t>Founder</t>
        </is>
      </c>
      <c r="F53" s="13" t="n"/>
      <c r="G53" s="13" t="n"/>
      <c r="H53" s="13" t="inlineStr">
        <is>
          <t>Not Started</t>
        </is>
      </c>
      <c r="I53" s="15" t="n">
        <v>0</v>
      </c>
      <c r="J53" s="13" t="n"/>
      <c r="K53" s="14" t="n"/>
      <c r="L53" s="14" t="inlineStr">
        <is>
          <t>Calendar invite</t>
        </is>
      </c>
    </row>
    <row r="54" ht="15" customHeight="1" s="11">
      <c r="A54" s="13" t="n">
        <v>53</v>
      </c>
      <c r="B54" s="13" t="inlineStr">
        <is>
          <t>Governance</t>
        </is>
      </c>
      <c r="C54" s="14" t="inlineStr">
        <is>
          <t>Schedule monthly steering review</t>
        </is>
      </c>
      <c r="D54" s="13" t="inlineStr">
        <is>
          <t>Medium</t>
        </is>
      </c>
      <c r="E54" s="13" t="inlineStr">
        <is>
          <t>Founder</t>
        </is>
      </c>
      <c r="F54" s="13" t="n"/>
      <c r="G54" s="13" t="n"/>
      <c r="H54" s="13" t="inlineStr">
        <is>
          <t>Not Started</t>
        </is>
      </c>
      <c r="I54" s="15" t="n">
        <v>0</v>
      </c>
      <c r="J54" s="13" t="n"/>
      <c r="K54" s="14" t="n"/>
      <c r="L54" s="14" t="inlineStr">
        <is>
          <t>Calendar invite</t>
        </is>
      </c>
    </row>
    <row r="55" ht="15" customHeight="1" s="11">
      <c r="A55" s="13" t="n">
        <v>54</v>
      </c>
      <c r="B55" s="13" t="inlineStr">
        <is>
          <t>Pilot Execution</t>
        </is>
      </c>
      <c r="C55" s="14" t="inlineStr">
        <is>
          <t>Launch pilot campaign — Country 1</t>
        </is>
      </c>
      <c r="D55" s="13" t="inlineStr">
        <is>
          <t>High</t>
        </is>
      </c>
      <c r="E55" s="13" t="inlineStr">
        <is>
          <t>Sales + Marketing</t>
        </is>
      </c>
      <c r="F55" s="13" t="n"/>
      <c r="G55" s="13" t="n"/>
      <c r="H55" s="13" t="inlineStr">
        <is>
          <t>Not Started</t>
        </is>
      </c>
      <c r="I55" s="15" t="n">
        <v>0</v>
      </c>
      <c r="J55" s="13" t="n"/>
      <c r="K55" s="14" t="inlineStr">
        <is>
          <t>Dep: Phases 1-6</t>
        </is>
      </c>
      <c r="L55" s="14" t="inlineStr">
        <is>
          <t>Define pilot scope</t>
        </is>
      </c>
    </row>
  </sheetData>
  <autoFilter ref="A1:L55"/>
  <conditionalFormatting sqref="H2:H55">
    <cfRule type="cellIs" rank="0" priority="2" equalAverage="0" operator="equal" aboveAverage="0" dxfId="5" text="" percent="0" bottom="0">
      <formula>"Blocked"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"Complete"</formula>
    </cfRule>
  </conditionalFormatting>
  <dataValidations count="2">
    <dataValidation sqref="H2:H55" showDropDown="0" showInputMessage="0" showErrorMessage="0" allowBlank="1" type="list" errorStyle="stop" operator="between">
      <formula1>"Not Started,In Progress,Blocked,Complete"</formula1>
      <formula2>0</formula2>
    </dataValidation>
    <dataValidation sqref="D2:D55" showDropDown="0" showInputMessage="0" showErrorMessage="0" allowBlank="1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0" min="1" max="1"/>
    <col width="14" customWidth="1" style="10" min="2" max="2"/>
  </cols>
  <sheetData>
    <row r="1" ht="17.25" customHeight="1" s="11">
      <c r="A1" s="16" t="inlineStr">
        <is>
          <t>Nivy Next Research — Progress Summary</t>
        </is>
      </c>
    </row>
    <row r="3" ht="15" customHeight="1" s="11">
      <c r="A3" s="17" t="inlineStr">
        <is>
          <t>Total Tasks</t>
        </is>
      </c>
      <c r="B3" s="17">
        <f>COUNTA('Progress Tracker'!A2:A1000)-COUNTBLANK('Progress Tracker'!A2:A1000)</f>
        <v/>
      </c>
    </row>
    <row r="4" ht="15" customHeight="1" s="11">
      <c r="A4" s="18" t="inlineStr">
        <is>
          <t>Not Started</t>
        </is>
      </c>
      <c r="B4" s="18">
        <f>COUNTIF('Progress Tracker'!H2:H1000,"Not Started")</f>
        <v/>
      </c>
    </row>
    <row r="5" ht="15" customHeight="1" s="11">
      <c r="A5" s="18" t="inlineStr">
        <is>
          <t>In Progress</t>
        </is>
      </c>
      <c r="B5" s="18">
        <f>COUNTIF('Progress Tracker'!H2:H1000,"In Progress")</f>
        <v/>
      </c>
    </row>
    <row r="6" ht="15" customHeight="1" s="11">
      <c r="A6" s="18" t="inlineStr">
        <is>
          <t>Blocked</t>
        </is>
      </c>
      <c r="B6" s="18">
        <f>COUNTIF('Progress Tracker'!H2:H1000,"Blocked")</f>
        <v/>
      </c>
    </row>
    <row r="7" ht="15" customHeight="1" s="11">
      <c r="A7" s="18" t="inlineStr">
        <is>
          <t>Complete</t>
        </is>
      </c>
      <c r="B7" s="18">
        <f>COUNTIF('Progress Tracker'!H2:H1000,"Complete")</f>
        <v/>
      </c>
    </row>
    <row r="8" ht="15" customHeight="1" s="11">
      <c r="A8" s="18" t="n"/>
      <c r="B8" s="18" t="n"/>
    </row>
    <row r="9" ht="15" customHeight="1" s="11">
      <c r="A9" s="17" t="inlineStr">
        <is>
          <t>Overall % Complete</t>
        </is>
      </c>
      <c r="B9" s="19">
        <f>B7/B3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2026-08-06T11:15:27Z</dcterms:created>
  <dcterms:modified xmlns:dcterms="http://purl.org/dc/terms/" xmlns:xsi="http://www.w3.org/2001/XMLSchema-instance" xsi:type="dcterms:W3CDTF">2026-08-07T20:43:07Z</dcterms:modified>
  <cp:revision>0</cp:revision>
</cp:coreProperties>
</file>