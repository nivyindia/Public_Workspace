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Database" sheetId="1" state="visible" r:id="rId1"/>
    <sheet xmlns:r="http://schemas.openxmlformats.org/officeDocument/2006/relationships" name="Outreach Dashboard" sheetId="2" state="visible" r:id="rId2"/>
    <sheet xmlns:r="http://schemas.openxmlformats.org/officeDocument/2006/relationships" name="Meetings" sheetId="3" state="visible" r:id="rId3"/>
    <sheet xmlns:r="http://schemas.openxmlformats.org/officeDocument/2006/relationships" name="Cl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Lead 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Position</t>
        </is>
      </c>
      <c r="E1" s="1" t="inlineStr">
        <is>
          <t>Niche</t>
        </is>
      </c>
      <c r="F1" s="1" t="inlineStr">
        <is>
          <t>Company Size</t>
        </is>
      </c>
      <c r="G1" s="1" t="inlineStr">
        <is>
          <t>Location</t>
        </is>
      </c>
      <c r="H1" s="1" t="inlineStr">
        <is>
          <t>Website</t>
        </is>
      </c>
      <c r="I1" s="1" t="inlineStr">
        <is>
          <t>LinkedIn URL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Lead Source</t>
        </is>
      </c>
      <c r="M1" s="1" t="inlineStr">
        <is>
          <t>Outreach Channel</t>
        </is>
      </c>
      <c r="N1" s="1" t="inlineStr">
        <is>
          <t>Outreach Stage</t>
        </is>
      </c>
      <c r="O1" s="1" t="inlineStr">
        <is>
          <t>First Contact Date</t>
        </is>
      </c>
      <c r="P1" s="1" t="inlineStr">
        <is>
          <t>Last Contact Date</t>
        </is>
      </c>
      <c r="Q1" s="1" t="inlineStr">
        <is>
          <t>Follow-up Count</t>
        </is>
      </c>
      <c r="R1" s="1" t="inlineStr">
        <is>
          <t>Response Status</t>
        </is>
      </c>
      <c r="S1" s="1" t="inlineStr">
        <is>
          <t>Meeting Status</t>
        </is>
      </c>
      <c r="T1" s="1" t="inlineStr">
        <is>
          <t>Meeting Date</t>
        </is>
      </c>
      <c r="U1" s="1" t="inlineStr">
        <is>
          <t>Deal Value</t>
        </is>
      </c>
      <c r="V1" s="1" t="inlineStr">
        <is>
          <t>Deal Status</t>
        </is>
      </c>
      <c r="W1" s="1" t="inlineStr">
        <is>
          <t>Assigned To</t>
        </is>
      </c>
      <c r="X1" s="1" t="inlineStr">
        <is>
          <t>Notes</t>
        </is>
      </c>
    </row>
  </sheetData>
  <dataValidations count="5">
    <dataValidation sqref="N2:N1000" showDropDown="0" showInputMessage="0" showErrorMessage="0" allowBlank="1" type="list">
      <formula1>"Not Contacted,Contacted,Follow-up 1,Follow-up 2,Follow-up 3,Replied,Meeting Booked,Client Won,Lost"</formula1>
    </dataValidation>
    <dataValidation sqref="M2:M1000" showDropDown="0" showInputMessage="0" showErrorMessage="0" allowBlank="1" type="list">
      <formula1>"Email,LinkedIn,Instagram,Phone,Other"</formula1>
    </dataValidation>
    <dataValidation sqref="R2:R1000" showDropDown="0" showInputMessage="0" showErrorMessage="0" allowBlank="1" type="list">
      <formula1>"No Reply,Replied,Interested,Not Interested"</formula1>
    </dataValidation>
    <dataValidation sqref="S2:S1000" showDropDown="0" showInputMessage="0" showErrorMessage="0" allowBlank="1" type="list">
      <formula1>"Not Booked,Booked,Completed,No Show"</formula1>
    </dataValidation>
    <dataValidation sqref="V2:V1000" showDropDown="0" showInputMessage="0" showErrorMessage="0" allowBlank="1" type="list">
      <formula1>"Open,Won,Lost"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Leads</t>
        </is>
      </c>
      <c r="B2">
        <f>COUNTA('Leads Database'!A:A)-1</f>
        <v/>
      </c>
    </row>
    <row r="3">
      <c r="A3" t="inlineStr">
        <is>
          <t>Contacted</t>
        </is>
      </c>
      <c r="B3">
        <f>COUNTIF('Leads Database'!N:N,"Contacted")</f>
        <v/>
      </c>
    </row>
    <row r="4">
      <c r="A4" t="inlineStr">
        <is>
          <t>Replies</t>
        </is>
      </c>
      <c r="B4">
        <f>COUNTIF('Leads Database'!R:R,"Replied")</f>
        <v/>
      </c>
    </row>
    <row r="5">
      <c r="A5" t="inlineStr">
        <is>
          <t>Interested</t>
        </is>
      </c>
      <c r="B5">
        <f>COUNTIF('Leads Database'!R:R,"Interested")</f>
        <v/>
      </c>
    </row>
    <row r="6">
      <c r="A6" t="inlineStr">
        <is>
          <t>Meetings Booked</t>
        </is>
      </c>
      <c r="B6">
        <f>COUNTIF('Leads Database'!S:S,"Booked")</f>
        <v/>
      </c>
    </row>
    <row r="7">
      <c r="A7" t="inlineStr">
        <is>
          <t>Clients Won</t>
        </is>
      </c>
      <c r="B7">
        <f>COUNTIF('Leads Database'!V:V,"Won")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Meeting Date</t>
        </is>
      </c>
      <c r="B1" s="1" t="inlineStr">
        <is>
          <t>Client Name</t>
        </is>
      </c>
      <c r="C1" s="1" t="inlineStr">
        <is>
          <t>Company</t>
        </is>
      </c>
      <c r="D1" s="1" t="inlineStr">
        <is>
          <t>Meeting Link</t>
        </is>
      </c>
      <c r="E1" s="1" t="inlineStr">
        <is>
          <t>Status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Client Name</t>
        </is>
      </c>
      <c r="B1" s="1" t="inlineStr">
        <is>
          <t>Company</t>
        </is>
      </c>
      <c r="C1" s="1" t="inlineStr">
        <is>
          <t>Service</t>
        </is>
      </c>
      <c r="D1" s="1" t="inlineStr">
        <is>
          <t>Monthly Fee</t>
        </is>
      </c>
      <c r="E1" s="1" t="inlineStr">
        <is>
          <t>Start Date</t>
        </is>
      </c>
      <c r="F1" s="1" t="inlineStr">
        <is>
          <t>Account Manager</t>
        </is>
      </c>
      <c r="G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2026-03-16T15:22:36Z</dcterms:created>
  <dcterms:modified xmlns:dcterms="http://purl.org/dc/terms/" xmlns:xsi="http://www.w3.org/2001/XMLSchema-instance" xsi:type="dcterms:W3CDTF">2026-03-16T15:22:36Z</dcterms:modified>
</cp:coreProperties>
</file>